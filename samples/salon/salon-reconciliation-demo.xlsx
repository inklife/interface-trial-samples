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览" sheetId="1" r:id="rId1"/>
    <sheet name="对账明细" sheetId="2" r:id="rId2"/>
    <sheet name="POS导出" sheetId="3" r:id="rId3"/>
    <sheet name="银行导出" sheetId="4" r:id="rId4"/>
  </sheets>
  <definedNames>
    <definedName name="_xlnm._FilterDatabase" localSheetId="2" hidden="1">POS导出!$A$5:$E$17</definedName>
    <definedName name="_xlnm._FilterDatabase" localSheetId="1" hidden="1">对账明细!$A$6:$H$18</definedName>
    <definedName name="_xlnm._FilterDatabase" localSheetId="3" hidden="1">银行导出!$A$5:$E$17</definedName>
    <definedName name="_xlnm.Print_Area" localSheetId="2">POS导出!$A$1:$E$22</definedName>
    <definedName name="_xlnm.Print_Area" localSheetId="1">对账明细!$A$1:$H$25</definedName>
    <definedName name="_xlnm.Print_Area" localSheetId="0">概览!$A$1:$M$27</definedName>
    <definedName name="_xlnm.Print_Area" localSheetId="3">银行导出!$A$1:$E$22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6" authorId="0">
      <text>
        <r>
          <rPr>
            <sz val="8"/>
            <color indexed="81"/>
            <rFont val="Tahoma"/>
            <family val="2"/>
          </rPr>
          <t>全表金额为合成演示输入。退款负数；订单流水号用来唯一定位一次交易事件。真实订单多次退款需在试单前商定组合键。</t>
        </r>
      </text>
    </comment>
    <comment ref="A16" authorId="0">
      <text>
        <r>
          <rPr>
            <sz val="8"/>
            <color indexed="81"/>
            <rFont val="Tahoma"/>
            <family val="2"/>
          </rPr>
          <t>故意保留的重复订单流水号，不自动去重。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9" authorId="0">
      <text>
        <r>
          <rPr>
            <sz val="8"/>
            <color indexed="81"/>
            <rFont val="Tahoma"/>
            <family val="2"/>
          </rPr>
          <t>与 B-003 原始行相同的银行流水号，模拟文件重复导出。</t>
        </r>
      </text>
    </comment>
  </commentList>
</comments>
</file>

<file path=xl/sharedStrings.xml><?xml version="1.0" encoding="utf-8"?>
<sst xmlns="http://schemas.openxmlformats.org/spreadsheetml/2006/main" count="135" uniqueCount="85">
  <si>
    <t>门店对账｜先看异常，再核原因</t>
  </si>
  <si>
    <t>仅使用合成数据 · 每份导出 12 行 · 金额单位：人民币元 · 全部原始行保留，重复记录未自动删除</t>
  </si>
  <si>
    <t>12 个唯一流水号的对账明细</t>
  </si>
  <si>
    <t>差额 = 银行净额 − POS 净额；按流水号精确匹配。先标缺失，再标重复，最后比较金额；异常不等于业务错误。</t>
  </si>
  <si>
    <t>POS 导出｜12 笔合成记录</t>
  </si>
  <si>
    <t>蓝色为输入；收款为正、退款为负。退款使用独立流水号；重复行保留，待核实后再处理。</t>
  </si>
  <si>
    <t>银行导出｜12 笔合成记录</t>
  </si>
  <si>
    <t>蓝色为输入；到账为正、退款为负。B-003 模拟同一银行流水重复导出，不代表两次真实到账。</t>
  </si>
  <si>
    <t>订单流水号</t>
  </si>
  <si>
    <t>交易日期</t>
  </si>
  <si>
    <t>类型</t>
  </si>
  <si>
    <t>金额（元）</t>
  </si>
  <si>
    <t>演示说明</t>
  </si>
  <si>
    <t>到账日期</t>
  </si>
  <si>
    <t>银行流水号</t>
  </si>
  <si>
    <t>D-001</t>
  </si>
  <si>
    <t>收款</t>
  </si>
  <si>
    <t>正常对账</t>
  </si>
  <si>
    <t>D-002</t>
  </si>
  <si>
    <t>D-003</t>
  </si>
  <si>
    <t>银行导出含重复流水</t>
  </si>
  <si>
    <t>D-004</t>
  </si>
  <si>
    <t>银行差额待核；不自动认定手续费</t>
  </si>
  <si>
    <t>D-005</t>
  </si>
  <si>
    <t>银行导出没有此号</t>
  </si>
  <si>
    <t>D-006</t>
  </si>
  <si>
    <t>R-007</t>
  </si>
  <si>
    <t>退款</t>
  </si>
  <si>
    <t>独立退款流水号；双方均用负数</t>
  </si>
  <si>
    <t>D-008</t>
  </si>
  <si>
    <t>R-009</t>
  </si>
  <si>
    <t>退款金额差异待核</t>
  </si>
  <si>
    <t>D-010</t>
  </si>
  <si>
    <t>D-011</t>
  </si>
  <si>
    <t>POS 导出含重复行</t>
  </si>
  <si>
    <t>模拟同一流水再次导出；不自动删除</t>
  </si>
  <si>
    <t>B-001</t>
  </si>
  <si>
    <t>B-002</t>
  </si>
  <si>
    <t>B-003</t>
  </si>
  <si>
    <t>原始导出行</t>
  </si>
  <si>
    <t>模拟银行同一流水重复导出</t>
  </si>
  <si>
    <t>B-004</t>
  </si>
  <si>
    <t>到账少 8 元；原因待核</t>
  </si>
  <si>
    <t>B-006</t>
  </si>
  <si>
    <t>B-007</t>
  </si>
  <si>
    <t>退款负数，与 POS 一致</t>
  </si>
  <si>
    <t>B-008</t>
  </si>
  <si>
    <t>B-009</t>
  </si>
  <si>
    <t>退款少 10 元；原因待核</t>
  </si>
  <si>
    <t>B-010</t>
  </si>
  <si>
    <t>B-011</t>
  </si>
  <si>
    <t>只有一笔银行流水</t>
  </si>
  <si>
    <t>D-012</t>
  </si>
  <si>
    <t>B-012</t>
  </si>
  <si>
    <t>POS 导出没有此号</t>
  </si>
  <si>
    <t>原始导出净额</t>
  </si>
  <si>
    <t>范围固定为 12 行演示。新增行或更改流水号后，必须同步更新核对清单与公式范围。不能把净额当作去重后营业收入。</t>
  </si>
  <si>
    <t>POS 笔数</t>
  </si>
  <si>
    <t>POS 净额（元）</t>
  </si>
  <si>
    <t>银行笔数</t>
  </si>
  <si>
    <t>银行净额（元）</t>
  </si>
  <si>
    <t>差额（元）</t>
  </si>
  <si>
    <t>重复标志</t>
  </si>
  <si>
    <t>核对结论</t>
  </si>
  <si>
    <t>全行合计</t>
  </si>
  <si>
    <t>保留重复行</t>
  </si>
  <si>
    <t>重复标志不自动认定多次付款。缺失可能来自到账延迟或导出不完整；差额可能来自手续费、部分退款或数据口径，需结合业务确认。</t>
  </si>
  <si>
    <t>核对清单是 12 个演示流水号的并集，含银行独有的 D-012。真实试单会依据客户导出重建清单，确认退款、手续费与跨日到账的口径。</t>
  </si>
  <si>
    <t>POS 原始净额（含重复）</t>
  </si>
  <si>
    <t>银行原始净额（含重复）</t>
  </si>
  <si>
    <t>差额：银行 − POS</t>
  </si>
  <si>
    <t>按流水号核对两侧原始行数和净额；重复、缺失及差额结论需结合业务确认。</t>
  </si>
  <si>
    <t>核对结果（按唯一流水号）</t>
  </si>
  <si>
    <t>一致</t>
  </si>
  <si>
    <t>重复待核</t>
  </si>
  <si>
    <t>金额差异</t>
  </si>
  <si>
    <t>银行缺失</t>
  </si>
  <si>
    <t>POS 缺失</t>
  </si>
  <si>
    <t>POS 总额核查</t>
  </si>
  <si>
    <t>银行总额核查</t>
  </si>
  <si>
    <t>差额合计核查</t>
  </si>
  <si>
    <t>核对号数</t>
  </si>
  <si>
    <t>口径：收款为正，退款为负；退款用独立流水号。原始净额包含疑似重复行，用于核查导出完整性，不是已经确认的营业收入。</t>
  </si>
  <si>
    <t>更新：修改现有 12 行的金额会重新计算；新增行或修改流水号，需同步更新核对清单和范围。演示仅展示首单对账，不包含技师提成、多店或完整经营看板。</t>
  </si>
  <si>
    <t>原需求：付费小表试单；399 元是拟报价</t>
  </si>
</sst>
</file>

<file path=xl/styles.xml><?xml version="1.0" encoding="utf-8"?>
<styleSheet xmlns="http://schemas.openxmlformats.org/spreadsheetml/2006/main">
  <numFmts count="2">
    <numFmt numFmtId="164" formatCode="#,##0.00;(#,##0.00);&quot;—&quot;"/>
    <numFmt numFmtId="165" formatCode="yyyy-mm-dd"/>
  </numFmts>
  <fonts count="12">
    <font>
      <sz val="11"/>
      <color theme="1"/>
      <name val="Calibri"/>
      <family val="2"/>
      <scheme val="minor"/>
    </font>
    <font>
      <sz val="11"/>
      <color rgb="FF172F38"/>
      <name val="Arial"/>
      <family val="2"/>
    </font>
    <font>
      <b/>
      <sz val="21"/>
      <color rgb="FF193B46"/>
      <name val="Arial"/>
      <family val="2"/>
    </font>
    <font>
      <sz val="10"/>
      <color rgb="FF677982"/>
      <name val="Arial"/>
      <family val="2"/>
    </font>
    <font>
      <b/>
      <sz val="11"/>
      <color rgb="FF187F79"/>
      <name val="Arial"/>
      <family val="2"/>
    </font>
    <font>
      <b/>
      <sz val="27"/>
      <color rgb="FF193B46"/>
      <name val="Arial"/>
      <family val="2"/>
    </font>
    <font>
      <b/>
      <sz val="27"/>
      <color rgb="FFA14F3B"/>
      <name val="Arial"/>
      <family val="2"/>
    </font>
    <font>
      <b/>
      <sz val="11"/>
      <color rgb="FFFFFFFF"/>
      <name val="Arial"/>
      <family val="2"/>
    </font>
    <font>
      <u/>
      <sz val="10"/>
      <color rgb="FF187F79"/>
      <name val="Arial"/>
      <family val="2"/>
    </font>
    <font>
      <sz val="11"/>
      <color rgb="FF1763A6"/>
      <name val="Arial"/>
      <family val="2"/>
    </font>
    <font>
      <b/>
      <sz val="11"/>
      <color rgb="FF172F38"/>
      <name val="Arial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0F8F7"/>
        <bgColor indexed="64"/>
      </patternFill>
    </fill>
    <fill>
      <patternFill patternType="solid">
        <fgColor rgb="FFFFF4ED"/>
        <bgColor indexed="64"/>
      </patternFill>
    </fill>
    <fill>
      <patternFill patternType="solid">
        <fgColor rgb="FF193B46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EFF4F5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FE9EC"/>
      </bottom>
      <diagonal/>
    </border>
    <border>
      <left/>
      <right/>
      <top style="medium">
        <color rgb="FF193B4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164" fontId="10" fillId="6" borderId="2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65" fontId="9" fillId="7" borderId="1" xfId="0" applyNumberFormat="1" applyFont="1" applyFill="1" applyBorder="1" applyAlignment="1">
      <alignment vertical="center"/>
    </xf>
    <xf numFmtId="164" fontId="9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4E39"/>
      </font>
      <fill>
        <patternFill>
          <bgColor rgb="FFFFF1E9"/>
        </patternFill>
      </fill>
    </dxf>
    <dxf>
      <font>
        <color rgb="FF32694B"/>
      </font>
      <fill>
        <patternFill>
          <bgColor rgb="FFEAF5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93B46"/>
                </a:solidFill>
                <a:latin typeface="Arial"/>
              </a:defRPr>
            </a:pPr>
            <a:r>
              <a:rPr lang="en-US" sz="1300" baseline="0">
                <a:solidFill>
                  <a:srgbClr val="193B46"/>
                </a:solidFill>
                <a:latin typeface="Arial"/>
              </a:rPr>
              <a:t>按核对结论分组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流水号组数</c:v>
          </c:tx>
          <c:spPr>
            <a:solidFill>
              <a:srgbClr val="187F79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10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概览!$I$11:$I$15</c:f>
              <c:strCache>
                <c:ptCount val="5"/>
                <c:pt idx="0">
                  <c:v>一致</c:v>
                </c:pt>
                <c:pt idx="1">
                  <c:v>重复待核</c:v>
                </c:pt>
                <c:pt idx="2">
                  <c:v>金额差异</c:v>
                </c:pt>
                <c:pt idx="3">
                  <c:v>银行缺失</c:v>
                </c:pt>
                <c:pt idx="4">
                  <c:v>POS 缺失</c:v>
                </c:pt>
              </c:strCache>
            </c:strRef>
          </c:cat>
          <c:val>
            <c:numRef>
              <c:f>概览!$L$11:$L$15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DFE9EC"/>
            </a:solidFill>
          </a:ln>
        </c:spPr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FE9EC"/>
              </a:solidFill>
            </a:ln>
          </c:spPr>
        </c:majorGridlines>
        <c:numFmt formatCode="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2"/>
      </c:valAx>
      <c:spPr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419100</xdr:colOff>
      <xdr:row>17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educk.com/posts/a4fWj9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87F79"/>
    <pageSetUpPr fitToPage="1"/>
  </sheetPr>
  <dimension ref="A1:M27"/>
  <sheetViews>
    <sheetView showGridLines="0" tabSelected="1" workbookViewId="0">
      <pane ySplit="3" topLeftCell="A4" activePane="bottomLeft" state="frozen"/>
      <selection pane="bottomLeft"/>
    </sheetView>
  </sheetViews>
  <sheetFormatPr defaultRowHeight="24" customHeight="1"/>
  <cols>
    <col min="1" max="1" width="9.7109375" style="1" customWidth="1"/>
    <col min="2" max="2" width="9.7109375" style="1" customWidth="1"/>
    <col min="3" max="3" width="9.7109375" style="1" customWidth="1"/>
    <col min="4" max="4" width="9.7109375" style="1" customWidth="1"/>
    <col min="5" max="5" width="9.7109375" style="1" customWidth="1"/>
    <col min="6" max="6" width="9.7109375" style="1" customWidth="1"/>
    <col min="7" max="7" width="9.7109375" style="1" customWidth="1"/>
    <col min="8" max="8" width="9.7109375" style="1" customWidth="1"/>
    <col min="9" max="9" width="9.7109375" style="1" customWidth="1"/>
    <col min="10" max="10" width="9.7109375" style="1" customWidth="1"/>
    <col min="11" max="11" width="9.7109375" style="1" customWidth="1"/>
    <col min="12" max="12" width="9.7109375" style="1" customWidth="1"/>
    <col min="13" max="13" width="9.7109375" style="1" customWidth="1"/>
  </cols>
  <sheetData>
    <row r="1" spans="1:13" ht="37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4" customHeight="1">
      <c r="A4" s="4" t="s">
        <v>68</v>
      </c>
      <c r="B4" s="4"/>
      <c r="C4" s="4"/>
      <c r="D4" s="4"/>
      <c r="E4" s="4" t="s">
        <v>69</v>
      </c>
      <c r="F4" s="4"/>
      <c r="G4" s="4"/>
      <c r="H4" s="4"/>
      <c r="I4" s="4" t="s">
        <v>70</v>
      </c>
      <c r="J4" s="4"/>
      <c r="K4" s="4"/>
      <c r="L4" s="4"/>
      <c r="M4" s="4"/>
    </row>
    <row r="5" spans="1:13" ht="24" customHeight="1">
      <c r="A5" s="5">
        <f>POS导出!D19</f>
        <v>1544.0</v>
      </c>
      <c r="B5" s="5"/>
      <c r="C5" s="5"/>
      <c r="D5" s="5"/>
      <c r="E5" s="5">
        <f>银行导出!C19</f>
        <v>1666.0</v>
      </c>
      <c r="F5" s="5"/>
      <c r="G5" s="5"/>
      <c r="H5" s="5"/>
      <c r="I5" s="6">
        <f>E5-A5</f>
        <v>122.0</v>
      </c>
      <c r="J5" s="6"/>
      <c r="K5" s="6"/>
      <c r="L5" s="6"/>
      <c r="M5" s="6"/>
    </row>
    <row r="6" spans="1:13" ht="24" customHeight="1">
      <c r="A6" s="5"/>
      <c r="B6" s="5"/>
      <c r="C6" s="5"/>
      <c r="D6" s="5"/>
      <c r="E6" s="5"/>
      <c r="F6" s="5"/>
      <c r="G6" s="5"/>
      <c r="H6" s="5"/>
      <c r="I6" s="6"/>
      <c r="J6" s="6"/>
      <c r="K6" s="6"/>
      <c r="L6" s="6"/>
      <c r="M6" s="6"/>
    </row>
    <row r="8" spans="1:13" ht="30" customHeight="1">
      <c r="A8" s="3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10" spans="1:13" ht="24" customHeight="1">
      <c r="I10" s="7" t="s">
        <v>72</v>
      </c>
      <c r="J10" s="7"/>
      <c r="K10" s="7"/>
      <c r="L10" s="7"/>
      <c r="M10" s="7"/>
    </row>
    <row r="11" spans="1:13" ht="24" customHeight="1">
      <c r="I11" s="8" t="s">
        <v>73</v>
      </c>
      <c r="J11" s="8"/>
      <c r="K11" s="8"/>
      <c r="L11" s="8">
        <f>COUNTIF(对账明细!$H$7:$H$18,I11)</f>
        <v>6</v>
      </c>
      <c r="M11" s="8"/>
    </row>
    <row r="12" spans="1:13" ht="24" customHeight="1">
      <c r="I12" s="8" t="s">
        <v>74</v>
      </c>
      <c r="J12" s="8"/>
      <c r="K12" s="8"/>
      <c r="L12" s="8">
        <f>COUNTIF(对账明细!$H$7:$H$18,I12)</f>
        <v>2</v>
      </c>
      <c r="M12" s="8"/>
    </row>
    <row r="13" spans="1:13" ht="24" customHeight="1">
      <c r="I13" s="8" t="s">
        <v>75</v>
      </c>
      <c r="J13" s="8"/>
      <c r="K13" s="8"/>
      <c r="L13" s="8">
        <f>COUNTIF(对账明细!$H$7:$H$18,I13)</f>
        <v>2</v>
      </c>
      <c r="M13" s="8"/>
    </row>
    <row r="14" spans="1:13" ht="24" customHeight="1">
      <c r="I14" s="8" t="s">
        <v>76</v>
      </c>
      <c r="J14" s="8"/>
      <c r="K14" s="8"/>
      <c r="L14" s="8">
        <f>COUNTIF(对账明细!$H$7:$H$18,I14)</f>
        <v>1</v>
      </c>
      <c r="M14" s="8"/>
    </row>
    <row r="15" spans="1:13" ht="24" customHeight="1">
      <c r="I15" s="8" t="s">
        <v>77</v>
      </c>
      <c r="J15" s="8"/>
      <c r="K15" s="8"/>
      <c r="L15" s="8">
        <f>COUNTIF(对账明细!$H$7:$H$18,I15)</f>
        <v>1</v>
      </c>
      <c r="M15" s="8"/>
    </row>
    <row r="17" spans="1:13" ht="24" customHeight="1">
      <c r="I17" s="3" t="s">
        <v>78</v>
      </c>
      <c r="J17" s="3"/>
      <c r="K17" s="3"/>
      <c r="L17" s="9" t="str">
        <f>IF(ROUND(SUM(对账明细!C7:C18)-POS导出!D19,2)=0,"通过","待检查")</f>
        <v>通过</v>
      </c>
      <c r="M17" s="9"/>
    </row>
    <row r="18" spans="1:13" ht="24" customHeight="1">
      <c r="I18" s="3" t="s">
        <v>79</v>
      </c>
      <c r="J18" s="3"/>
      <c r="K18" s="3"/>
      <c r="L18" s="9" t="str">
        <f>IF(ROUND(SUM(对账明细!E7:E18)-银行导出!C19,2)=0,"通过","待检查")</f>
        <v>通过</v>
      </c>
      <c r="M18" s="9"/>
    </row>
    <row r="19" spans="1:13" ht="24" customHeight="1">
      <c r="I19" s="3" t="s">
        <v>80</v>
      </c>
      <c r="J19" s="3"/>
      <c r="K19" s="3"/>
      <c r="L19" s="9" t="str">
        <f>IF(ROUND(SUM(对账明细!F7:F18)-(E5-A5),2)=0,"通过","待检查")</f>
        <v>通过</v>
      </c>
      <c r="M19" s="9"/>
    </row>
    <row r="20" spans="1:13" ht="24" customHeight="1">
      <c r="I20" s="3" t="s">
        <v>81</v>
      </c>
      <c r="J20" s="3"/>
      <c r="K20" s="3"/>
      <c r="L20" s="9">
        <f>COUNTA(对账明细!A7:A18)</f>
        <v>12</v>
      </c>
      <c r="M20" s="9"/>
    </row>
    <row r="23" spans="1:13" ht="24" customHeight="1">
      <c r="A23" s="3" t="s">
        <v>82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4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4" customHeight="1">
      <c r="A25" s="3" t="s">
        <v>83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4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4" customHeight="1">
      <c r="A27" s="10" t="s">
        <v>84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</sheetData>
  <mergeCells count="31">
    <mergeCell ref="A1:M1"/>
    <mergeCell ref="A2:M3"/>
    <mergeCell ref="A4:D4"/>
    <mergeCell ref="E4:H4"/>
    <mergeCell ref="I4:M4"/>
    <mergeCell ref="A5:D6"/>
    <mergeCell ref="E5:H6"/>
    <mergeCell ref="I5:M6"/>
    <mergeCell ref="A8:M8"/>
    <mergeCell ref="I10:M10"/>
    <mergeCell ref="I11:K11"/>
    <mergeCell ref="L11:M11"/>
    <mergeCell ref="I12:K12"/>
    <mergeCell ref="L12:M12"/>
    <mergeCell ref="I13:K13"/>
    <mergeCell ref="L13:M13"/>
    <mergeCell ref="I14:K14"/>
    <mergeCell ref="L14:M14"/>
    <mergeCell ref="I15:K15"/>
    <mergeCell ref="L15:M15"/>
    <mergeCell ref="I17:K17"/>
    <mergeCell ref="L17:M17"/>
    <mergeCell ref="I18:K18"/>
    <mergeCell ref="L18:M18"/>
    <mergeCell ref="I19:K19"/>
    <mergeCell ref="L19:M19"/>
    <mergeCell ref="I20:K20"/>
    <mergeCell ref="L20:M20"/>
    <mergeCell ref="A23:M24"/>
    <mergeCell ref="A25:M26"/>
    <mergeCell ref="A27:M27"/>
  </mergeCells>
  <hyperlinks>
    <hyperlink ref="A27" r:id="rId1"/>
  </hyperlinks>
  <pageMargins left="0.35" right="0.35" top="0.45" bottom="0.45" header="0.3" footer="0.2"/>
  <pageSetup paperSize="9" orientation="landscape"/>
  <headerFooter>
    <oddFooter>&amp;L合成对账演示 · 不含客户数据&amp;R&amp;P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87F79"/>
    <pageSetUpPr fitToPage="1"/>
  </sheetPr>
  <dimension ref="A1:H25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19.7109375" style="1" customWidth="1"/>
    <col min="2" max="2" width="12.7109375" style="1" customWidth="1"/>
    <col min="3" max="3" width="15.7109375" style="1" customWidth="1"/>
    <col min="4" max="4" width="12.7109375" style="1" customWidth="1"/>
    <col min="5" max="5" width="15.7109375" style="1" customWidth="1"/>
    <col min="6" max="6" width="15.7109375" style="1" customWidth="1"/>
    <col min="7" max="7" width="17.7109375" style="1" customWidth="1"/>
    <col min="8" max="8" width="17.7109375" style="1" customWidth="1"/>
  </cols>
  <sheetData>
    <row r="1" spans="1:8" ht="37" customHeight="1">
      <c r="A1" s="2" t="s">
        <v>2</v>
      </c>
      <c r="B1" s="2"/>
      <c r="C1" s="2"/>
      <c r="D1" s="2"/>
      <c r="E1" s="2"/>
      <c r="F1" s="2"/>
      <c r="G1" s="2"/>
      <c r="H1" s="2"/>
    </row>
    <row r="2" spans="1:8" ht="18" customHeight="1">
      <c r="A2" s="3" t="s">
        <v>3</v>
      </c>
      <c r="B2" s="3"/>
      <c r="C2" s="3"/>
      <c r="D2" s="3"/>
      <c r="E2" s="3"/>
      <c r="F2" s="3"/>
      <c r="G2" s="3"/>
      <c r="H2" s="3"/>
    </row>
    <row r="3" spans="1:8" ht="18" customHeight="1">
      <c r="A3" s="3"/>
      <c r="B3" s="3"/>
      <c r="C3" s="3"/>
      <c r="D3" s="3"/>
      <c r="E3" s="3"/>
      <c r="F3" s="3"/>
      <c r="G3" s="3"/>
      <c r="H3" s="3"/>
    </row>
    <row r="6" spans="1:8" ht="32" customHeight="1">
      <c r="A6" s="7" t="s">
        <v>8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  <c r="H6" s="7" t="s">
        <v>63</v>
      </c>
    </row>
    <row r="7" spans="1:8" ht="29" customHeight="1">
      <c r="A7" s="11" t="s">
        <v>15</v>
      </c>
      <c r="B7" s="8">
        <f>COUNTIF(POS导出!$A$6:$A$17,$A7)</f>
        <v>1</v>
      </c>
      <c r="C7" s="12">
        <f>SUMIF(POS导出!$A$6:$A$17,$A7,POS导出!$D$6:$D$17)</f>
        <v>128.0</v>
      </c>
      <c r="D7" s="8">
        <f>COUNTIF(银行导出!$A$6:$A$17,$A7)</f>
        <v>1</v>
      </c>
      <c r="E7" s="12">
        <f>SUMIF(银行导出!$A$6:$A$17,$A7,银行导出!$C$6:$C$17)</f>
        <v>128.0</v>
      </c>
      <c r="F7" s="12">
        <f>ROUND(E7-C7,2)</f>
        <v>0.0</v>
      </c>
      <c r="G7" s="8" t="str">
        <f>IF(AND(B7&gt;1,D7&gt;1),"两边重复",IF(B7&gt;1,"POS 重复",IF(D7&gt;1,"银行重复","无")))</f>
        <v>无</v>
      </c>
      <c r="H7" s="8" t="str">
        <f>IF(B7=0,"POS 缺失",IF(D7=0,"银行缺失",IF(OR(B7&gt;1,D7&gt;1),"重复待核",IF(F7&lt;&gt;0,"金额差异","一致"))))</f>
        <v>一致</v>
      </c>
    </row>
    <row r="8" spans="1:8" ht="29" customHeight="1">
      <c r="A8" s="11" t="s">
        <v>18</v>
      </c>
      <c r="B8" s="8">
        <f>COUNTIF(POS导出!$A$6:$A$17,$A8)</f>
        <v>1</v>
      </c>
      <c r="C8" s="12">
        <f>SUMIF(POS导出!$A$6:$A$17,$A8,POS导出!$D$6:$D$17)</f>
        <v>198.0</v>
      </c>
      <c r="D8" s="8">
        <f>COUNTIF(银行导出!$A$6:$A$17,$A8)</f>
        <v>1</v>
      </c>
      <c r="E8" s="12">
        <f>SUMIF(银行导出!$A$6:$A$17,$A8,银行导出!$C$6:$C$17)</f>
        <v>198.0</v>
      </c>
      <c r="F8" s="12">
        <f>ROUND(E8-C8,2)</f>
        <v>0.0</v>
      </c>
      <c r="G8" s="8" t="str">
        <f>IF(AND(B8&gt;1,D8&gt;1),"两边重复",IF(B8&gt;1,"POS 重复",IF(D8&gt;1,"银行重复","无")))</f>
        <v>无</v>
      </c>
      <c r="H8" s="8" t="str">
        <f>IF(B8=0,"POS 缺失",IF(D8=0,"银行缺失",IF(OR(B8&gt;1,D8&gt;1),"重复待核",IF(F8&lt;&gt;0,"金额差异","一致"))))</f>
        <v>一致</v>
      </c>
    </row>
    <row r="9" spans="1:8" ht="29" customHeight="1">
      <c r="A9" s="11" t="s">
        <v>19</v>
      </c>
      <c r="B9" s="8">
        <f>COUNTIF(POS导出!$A$6:$A$17,$A9)</f>
        <v>1</v>
      </c>
      <c r="C9" s="12">
        <f>SUMIF(POS导出!$A$6:$A$17,$A9,POS导出!$D$6:$D$17)</f>
        <v>268.0</v>
      </c>
      <c r="D9" s="8">
        <f>COUNTIF(银行导出!$A$6:$A$17,$A9)</f>
        <v>2</v>
      </c>
      <c r="E9" s="12">
        <f>SUMIF(银行导出!$A$6:$A$17,$A9,银行导出!$C$6:$C$17)</f>
        <v>536.0</v>
      </c>
      <c r="F9" s="12">
        <f>ROUND(E9-C9,2)</f>
        <v>268.0</v>
      </c>
      <c r="G9" s="8" t="str">
        <f>IF(AND(B9&gt;1,D9&gt;1),"两边重复",IF(B9&gt;1,"POS 重复",IF(D9&gt;1,"银行重复","无")))</f>
        <v>银行重复</v>
      </c>
      <c r="H9" s="8" t="str">
        <f>IF(B9=0,"POS 缺失",IF(D9=0,"银行缺失",IF(OR(B9&gt;1,D9&gt;1),"重复待核",IF(F9&lt;&gt;0,"金额差异","一致"))))</f>
        <v>重复待核</v>
      </c>
    </row>
    <row r="10" spans="1:8" ht="29" customHeight="1">
      <c r="A10" s="11" t="s">
        <v>21</v>
      </c>
      <c r="B10" s="8">
        <f>COUNTIF(POS导出!$A$6:$A$17,$A10)</f>
        <v>1</v>
      </c>
      <c r="C10" s="12">
        <f>SUMIF(POS导出!$A$6:$A$17,$A10,POS导出!$D$6:$D$17)</f>
        <v>168.0</v>
      </c>
      <c r="D10" s="8">
        <f>COUNTIF(银行导出!$A$6:$A$17,$A10)</f>
        <v>1</v>
      </c>
      <c r="E10" s="12">
        <f>SUMIF(银行导出!$A$6:$A$17,$A10,银行导出!$C$6:$C$17)</f>
        <v>160.0</v>
      </c>
      <c r="F10" s="12">
        <f>ROUND(E10-C10,2)</f>
        <v>-8.0</v>
      </c>
      <c r="G10" s="8" t="str">
        <f>IF(AND(B10&gt;1,D10&gt;1),"两边重复",IF(B10&gt;1,"POS 重复",IF(D10&gt;1,"银行重复","无")))</f>
        <v>无</v>
      </c>
      <c r="H10" s="8" t="str">
        <f>IF(B10=0,"POS 缺失",IF(D10=0,"银行缺失",IF(OR(B10&gt;1,D10&gt;1),"重复待核",IF(F10&lt;&gt;0,"金额差异","一致"))))</f>
        <v>金额差异</v>
      </c>
    </row>
    <row r="11" spans="1:8" ht="29" customHeight="1">
      <c r="A11" s="11" t="s">
        <v>23</v>
      </c>
      <c r="B11" s="8">
        <f>COUNTIF(POS导出!$A$6:$A$17,$A11)</f>
        <v>1</v>
      </c>
      <c r="C11" s="12">
        <f>SUMIF(POS导出!$A$6:$A$17,$A11,POS导出!$D$6:$D$17)</f>
        <v>98.0</v>
      </c>
      <c r="D11" s="8">
        <f>COUNTIF(银行导出!$A$6:$A$17,$A11)</f>
        <v>0</v>
      </c>
      <c r="E11" s="12">
        <f>SUMIF(银行导出!$A$6:$A$17,$A11,银行导出!$C$6:$C$17)</f>
        <v>0.0</v>
      </c>
      <c r="F11" s="12">
        <f>ROUND(E11-C11,2)</f>
        <v>-98.0</v>
      </c>
      <c r="G11" s="8" t="str">
        <f>IF(AND(B11&gt;1,D11&gt;1),"两边重复",IF(B11&gt;1,"POS 重复",IF(D11&gt;1,"银行重复","无")))</f>
        <v>无</v>
      </c>
      <c r="H11" s="8" t="str">
        <f>IF(B11=0,"POS 缺失",IF(D11=0,"银行缺失",IF(OR(B11&gt;1,D11&gt;1),"重复待核",IF(F11&lt;&gt;0,"金额差异","一致"))))</f>
        <v>银行缺失</v>
      </c>
    </row>
    <row r="12" spans="1:8" ht="29" customHeight="1">
      <c r="A12" s="11" t="s">
        <v>25</v>
      </c>
      <c r="B12" s="8">
        <f>COUNTIF(POS导出!$A$6:$A$17,$A12)</f>
        <v>1</v>
      </c>
      <c r="C12" s="12">
        <f>SUMIF(POS导出!$A$6:$A$17,$A12,POS导出!$D$6:$D$17)</f>
        <v>228.0</v>
      </c>
      <c r="D12" s="8">
        <f>COUNTIF(银行导出!$A$6:$A$17,$A12)</f>
        <v>1</v>
      </c>
      <c r="E12" s="12">
        <f>SUMIF(银行导出!$A$6:$A$17,$A12,银行导出!$C$6:$C$17)</f>
        <v>228.0</v>
      </c>
      <c r="F12" s="12">
        <f>ROUND(E12-C12,2)</f>
        <v>0.0</v>
      </c>
      <c r="G12" s="8" t="str">
        <f>IF(AND(B12&gt;1,D12&gt;1),"两边重复",IF(B12&gt;1,"POS 重复",IF(D12&gt;1,"银行重复","无")))</f>
        <v>无</v>
      </c>
      <c r="H12" s="8" t="str">
        <f>IF(B12=0,"POS 缺失",IF(D12=0,"银行缺失",IF(OR(B12&gt;1,D12&gt;1),"重复待核",IF(F12&lt;&gt;0,"金额差异","一致"))))</f>
        <v>一致</v>
      </c>
    </row>
    <row r="13" spans="1:8" ht="29" customHeight="1">
      <c r="A13" s="11" t="s">
        <v>26</v>
      </c>
      <c r="B13" s="8">
        <f>COUNTIF(POS导出!$A$6:$A$17,$A13)</f>
        <v>1</v>
      </c>
      <c r="C13" s="12">
        <f>SUMIF(POS导出!$A$6:$A$17,$A13,POS导出!$D$6:$D$17)</f>
        <v>-58.0</v>
      </c>
      <c r="D13" s="8">
        <f>COUNTIF(银行导出!$A$6:$A$17,$A13)</f>
        <v>1</v>
      </c>
      <c r="E13" s="12">
        <f>SUMIF(银行导出!$A$6:$A$17,$A13,银行导出!$C$6:$C$17)</f>
        <v>-58.0</v>
      </c>
      <c r="F13" s="12">
        <f>ROUND(E13-C13,2)</f>
        <v>0.0</v>
      </c>
      <c r="G13" s="8" t="str">
        <f>IF(AND(B13&gt;1,D13&gt;1),"两边重复",IF(B13&gt;1,"POS 重复",IF(D13&gt;1,"银行重复","无")))</f>
        <v>无</v>
      </c>
      <c r="H13" s="8" t="str">
        <f>IF(B13=0,"POS 缺失",IF(D13=0,"银行缺失",IF(OR(B13&gt;1,D13&gt;1),"重复待核",IF(F13&lt;&gt;0,"金额差异","一致"))))</f>
        <v>一致</v>
      </c>
    </row>
    <row r="14" spans="1:8" ht="29" customHeight="1">
      <c r="A14" s="11" t="s">
        <v>29</v>
      </c>
      <c r="B14" s="8">
        <f>COUNTIF(POS导出!$A$6:$A$17,$A14)</f>
        <v>1</v>
      </c>
      <c r="C14" s="12">
        <f>SUMIF(POS导出!$A$6:$A$17,$A14,POS导出!$D$6:$D$17)</f>
        <v>188.0</v>
      </c>
      <c r="D14" s="8">
        <f>COUNTIF(银行导出!$A$6:$A$17,$A14)</f>
        <v>1</v>
      </c>
      <c r="E14" s="12">
        <f>SUMIF(银行导出!$A$6:$A$17,$A14,银行导出!$C$6:$C$17)</f>
        <v>188.0</v>
      </c>
      <c r="F14" s="12">
        <f>ROUND(E14-C14,2)</f>
        <v>0.0</v>
      </c>
      <c r="G14" s="8" t="str">
        <f>IF(AND(B14&gt;1,D14&gt;1),"两边重复",IF(B14&gt;1,"POS 重复",IF(D14&gt;1,"银行重复","无")))</f>
        <v>无</v>
      </c>
      <c r="H14" s="8" t="str">
        <f>IF(B14=0,"POS 缺失",IF(D14=0,"银行缺失",IF(OR(B14&gt;1,D14&gt;1),"重复待核",IF(F14&lt;&gt;0,"金额差异","一致"))))</f>
        <v>一致</v>
      </c>
    </row>
    <row r="15" spans="1:8" ht="29" customHeight="1">
      <c r="A15" s="11" t="s">
        <v>30</v>
      </c>
      <c r="B15" s="8">
        <f>COUNTIF(POS导出!$A$6:$A$17,$A15)</f>
        <v>1</v>
      </c>
      <c r="C15" s="12">
        <f>SUMIF(POS导出!$A$6:$A$17,$A15,POS导出!$D$6:$D$17)</f>
        <v>-38.0</v>
      </c>
      <c r="D15" s="8">
        <f>COUNTIF(银行导出!$A$6:$A$17,$A15)</f>
        <v>1</v>
      </c>
      <c r="E15" s="12">
        <f>SUMIF(银行导出!$A$6:$A$17,$A15,银行导出!$C$6:$C$17)</f>
        <v>-28.0</v>
      </c>
      <c r="F15" s="12">
        <f>ROUND(E15-C15,2)</f>
        <v>10.0</v>
      </c>
      <c r="G15" s="8" t="str">
        <f>IF(AND(B15&gt;1,D15&gt;1),"两边重复",IF(B15&gt;1,"POS 重复",IF(D15&gt;1,"银行重复","无")))</f>
        <v>无</v>
      </c>
      <c r="H15" s="8" t="str">
        <f>IF(B15=0,"POS 缺失",IF(D15=0,"银行缺失",IF(OR(B15&gt;1,D15&gt;1),"重复待核",IF(F15&lt;&gt;0,"金额差异","一致"))))</f>
        <v>金额差异</v>
      </c>
    </row>
    <row r="16" spans="1:8" ht="29" customHeight="1">
      <c r="A16" s="11" t="s">
        <v>32</v>
      </c>
      <c r="B16" s="8">
        <f>COUNTIF(POS导出!$A$6:$A$17,$A16)</f>
        <v>1</v>
      </c>
      <c r="C16" s="12">
        <f>SUMIF(POS导出!$A$6:$A$17,$A16,POS导出!$D$6:$D$17)</f>
        <v>88.0</v>
      </c>
      <c r="D16" s="8">
        <f>COUNTIF(银行导出!$A$6:$A$17,$A16)</f>
        <v>1</v>
      </c>
      <c r="E16" s="12">
        <f>SUMIF(银行导出!$A$6:$A$17,$A16,银行导出!$C$6:$C$17)</f>
        <v>88.0</v>
      </c>
      <c r="F16" s="12">
        <f>ROUND(E16-C16,2)</f>
        <v>0.0</v>
      </c>
      <c r="G16" s="8" t="str">
        <f>IF(AND(B16&gt;1,D16&gt;1),"两边重复",IF(B16&gt;1,"POS 重复",IF(D16&gt;1,"银行重复","无")))</f>
        <v>无</v>
      </c>
      <c r="H16" s="8" t="str">
        <f>IF(B16=0,"POS 缺失",IF(D16=0,"银行缺失",IF(OR(B16&gt;1,D16&gt;1),"重复待核",IF(F16&lt;&gt;0,"金额差异","一致"))))</f>
        <v>一致</v>
      </c>
    </row>
    <row r="17" spans="1:8" ht="29" customHeight="1">
      <c r="A17" s="11" t="s">
        <v>33</v>
      </c>
      <c r="B17" s="8">
        <f>COUNTIF(POS导出!$A$6:$A$17,$A17)</f>
        <v>2</v>
      </c>
      <c r="C17" s="12">
        <f>SUMIF(POS导出!$A$6:$A$17,$A17,POS导出!$D$6:$D$17)</f>
        <v>276.0</v>
      </c>
      <c r="D17" s="8">
        <f>COUNTIF(银行导出!$A$6:$A$17,$A17)</f>
        <v>1</v>
      </c>
      <c r="E17" s="12">
        <f>SUMIF(银行导出!$A$6:$A$17,$A17,银行导出!$C$6:$C$17)</f>
        <v>138.0</v>
      </c>
      <c r="F17" s="12">
        <f>ROUND(E17-C17,2)</f>
        <v>-138.0</v>
      </c>
      <c r="G17" s="8" t="str">
        <f>IF(AND(B17&gt;1,D17&gt;1),"两边重复",IF(B17&gt;1,"POS 重复",IF(D17&gt;1,"银行重复","无")))</f>
        <v>POS 重复</v>
      </c>
      <c r="H17" s="8" t="str">
        <f>IF(B17=0,"POS 缺失",IF(D17=0,"银行缺失",IF(OR(B17&gt;1,D17&gt;1),"重复待核",IF(F17&lt;&gt;0,"金额差异","一致"))))</f>
        <v>重复待核</v>
      </c>
    </row>
    <row r="18" spans="1:8" ht="29" customHeight="1">
      <c r="A18" s="11" t="s">
        <v>52</v>
      </c>
      <c r="B18" s="8">
        <f>COUNTIF(POS导出!$A$6:$A$17,$A18)</f>
        <v>0</v>
      </c>
      <c r="C18" s="12">
        <f>SUMIF(POS导出!$A$6:$A$17,$A18,POS导出!$D$6:$D$17)</f>
        <v>0.0</v>
      </c>
      <c r="D18" s="8">
        <f>COUNTIF(银行导出!$A$6:$A$17,$A18)</f>
        <v>1</v>
      </c>
      <c r="E18" s="12">
        <f>SUMIF(银行导出!$A$6:$A$17,$A18,银行导出!$C$6:$C$17)</f>
        <v>88.0</v>
      </c>
      <c r="F18" s="12">
        <f>ROUND(E18-C18,2)</f>
        <v>88.0</v>
      </c>
      <c r="G18" s="8" t="str">
        <f>IF(AND(B18&gt;1,D18&gt;1),"两边重复",IF(B18&gt;1,"POS 重复",IF(D18&gt;1,"银行重复","无")))</f>
        <v>无</v>
      </c>
      <c r="H18" s="8" t="str">
        <f>IF(B18=0,"POS 缺失",IF(D18=0,"银行缺失",IF(OR(B18&gt;1,D18&gt;1),"重复待核",IF(F18&lt;&gt;0,"金额差异","一致"))))</f>
        <v>POS 缺失</v>
      </c>
    </row>
    <row r="20" spans="1:8" ht="24" customHeight="1">
      <c r="A20" s="13" t="s">
        <v>64</v>
      </c>
      <c r="B20" s="13">
        <f>SUM(B7:B18)</f>
        <v>12.0</v>
      </c>
      <c r="C20" s="14">
        <f>SUM(C7:C18)</f>
        <v>1544.0</v>
      </c>
      <c r="D20" s="13">
        <f>SUM(D7:D18)</f>
        <v>12.0</v>
      </c>
      <c r="E20" s="14">
        <f>SUM(E7:E18)</f>
        <v>1666.0</v>
      </c>
      <c r="F20" s="14">
        <f>SUM(F7:F18)</f>
        <v>122.0</v>
      </c>
      <c r="G20" s="13" t="s">
        <v>65</v>
      </c>
      <c r="H20" s="13" t="str">
        <f>COUNTIF(H7:H18,"&lt;&gt;一致")&amp;" 组待核"</f>
        <v>6 组待核</v>
      </c>
    </row>
    <row r="22" spans="1:8" ht="24" customHeight="1">
      <c r="A22" s="3" t="s">
        <v>66</v>
      </c>
      <c r="B22" s="3"/>
      <c r="C22" s="3"/>
      <c r="D22" s="3"/>
      <c r="E22" s="3"/>
      <c r="F22" s="3"/>
      <c r="G22" s="3"/>
      <c r="H22" s="3"/>
    </row>
    <row r="23" spans="1:8" ht="24" customHeight="1">
      <c r="A23" s="3"/>
      <c r="B23" s="3"/>
      <c r="C23" s="3"/>
      <c r="D23" s="3"/>
      <c r="E23" s="3"/>
      <c r="F23" s="3"/>
      <c r="G23" s="3"/>
      <c r="H23" s="3"/>
    </row>
    <row r="24" spans="1:8" ht="24" customHeight="1">
      <c r="A24" s="3" t="s">
        <v>67</v>
      </c>
      <c r="B24" s="3"/>
      <c r="C24" s="3"/>
      <c r="D24" s="3"/>
      <c r="E24" s="3"/>
      <c r="F24" s="3"/>
      <c r="G24" s="3"/>
      <c r="H24" s="3"/>
    </row>
    <row r="25" spans="1:8" ht="24" customHeight="1">
      <c r="A25" s="3"/>
      <c r="B25" s="3"/>
      <c r="C25" s="3"/>
      <c r="D25" s="3"/>
      <c r="E25" s="3"/>
      <c r="F25" s="3"/>
      <c r="G25" s="3"/>
      <c r="H25" s="3"/>
    </row>
  </sheetData>
  <autoFilter ref="A6:H18"/>
  <mergeCells count="4">
    <mergeCell ref="A1:H1"/>
    <mergeCell ref="A2:H3"/>
    <mergeCell ref="A22:H23"/>
    <mergeCell ref="A24:H25"/>
  </mergeCells>
  <conditionalFormatting sqref="A7:H18">
    <cfRule type="expression" dxfId="0" priority="1">
      <formula>$H7&lt;&gt;"一致"</formula>
    </cfRule>
  </conditionalFormatting>
  <conditionalFormatting sqref="H7:H18">
    <cfRule type="expression" dxfId="1" priority="2">
      <formula>$H7="一致"</formula>
    </cfRule>
  </conditionalFormatting>
  <pageMargins left="0.35" right="0.35" top="0.45" bottom="0.45" header="0.3" footer="0.2"/>
  <pageSetup paperSize="9" orientation="landscape"/>
  <headerFooter>
    <oddFooter>&amp;L合成对账演示 · 不含客户数据&amp;R&amp;P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87F79"/>
    <pageSetUpPr fitToPage="1"/>
  </sheetPr>
  <dimension ref="A1:E2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4" customHeight="1"/>
  <cols>
    <col min="1" max="1" width="20.7109375" style="1" customWidth="1"/>
    <col min="2" max="2" width="16.7109375" style="1" customWidth="1"/>
    <col min="3" max="3" width="12.7109375" style="1" customWidth="1"/>
    <col min="4" max="4" width="16.7109375" style="1" customWidth="1"/>
    <col min="5" max="5" width="49.7109375" style="1" customWidth="1"/>
  </cols>
  <sheetData>
    <row r="1" spans="1:5" ht="37" customHeight="1">
      <c r="A1" s="2" t="s">
        <v>4</v>
      </c>
      <c r="B1" s="2"/>
      <c r="C1" s="2"/>
      <c r="D1" s="2"/>
      <c r="E1" s="2"/>
    </row>
    <row r="2" spans="1:5" ht="18" customHeight="1">
      <c r="A2" s="3" t="s">
        <v>5</v>
      </c>
      <c r="B2" s="3"/>
      <c r="C2" s="3"/>
      <c r="D2" s="3"/>
      <c r="E2" s="3"/>
    </row>
    <row r="3" spans="1:5" ht="18" customHeight="1">
      <c r="A3" s="3"/>
      <c r="B3" s="3"/>
      <c r="C3" s="3"/>
      <c r="D3" s="3"/>
      <c r="E3" s="3"/>
    </row>
    <row r="5" spans="1:5" ht="28" customHeight="1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</row>
    <row r="6" spans="1:5" ht="31" customHeight="1">
      <c r="A6" s="15" t="s">
        <v>15</v>
      </c>
      <c r="B6" s="16">
        <v>46290</v>
      </c>
      <c r="C6" s="15" t="s">
        <v>16</v>
      </c>
      <c r="D6" s="17">
        <v>128</v>
      </c>
      <c r="E6" s="18" t="s">
        <v>17</v>
      </c>
    </row>
    <row r="7" spans="1:5" ht="31" customHeight="1">
      <c r="A7" s="15" t="s">
        <v>18</v>
      </c>
      <c r="B7" s="16">
        <v>46290</v>
      </c>
      <c r="C7" s="15" t="s">
        <v>16</v>
      </c>
      <c r="D7" s="17">
        <v>198</v>
      </c>
      <c r="E7" s="18" t="s">
        <v>17</v>
      </c>
    </row>
    <row r="8" spans="1:5" ht="31" customHeight="1">
      <c r="A8" s="15" t="s">
        <v>19</v>
      </c>
      <c r="B8" s="16">
        <v>46290</v>
      </c>
      <c r="C8" s="15" t="s">
        <v>16</v>
      </c>
      <c r="D8" s="17">
        <v>268</v>
      </c>
      <c r="E8" s="18" t="s">
        <v>20</v>
      </c>
    </row>
    <row r="9" spans="1:5" ht="31" customHeight="1">
      <c r="A9" s="15" t="s">
        <v>21</v>
      </c>
      <c r="B9" s="16">
        <v>46290</v>
      </c>
      <c r="C9" s="15" t="s">
        <v>16</v>
      </c>
      <c r="D9" s="17">
        <v>168</v>
      </c>
      <c r="E9" s="18" t="s">
        <v>22</v>
      </c>
    </row>
    <row r="10" spans="1:5" ht="31" customHeight="1">
      <c r="A10" s="15" t="s">
        <v>23</v>
      </c>
      <c r="B10" s="16">
        <v>46290</v>
      </c>
      <c r="C10" s="15" t="s">
        <v>16</v>
      </c>
      <c r="D10" s="17">
        <v>98</v>
      </c>
      <c r="E10" s="18" t="s">
        <v>24</v>
      </c>
    </row>
    <row r="11" spans="1:5" ht="31" customHeight="1">
      <c r="A11" s="15" t="s">
        <v>25</v>
      </c>
      <c r="B11" s="16">
        <v>46291</v>
      </c>
      <c r="C11" s="15" t="s">
        <v>16</v>
      </c>
      <c r="D11" s="17">
        <v>228</v>
      </c>
      <c r="E11" s="18" t="s">
        <v>17</v>
      </c>
    </row>
    <row r="12" spans="1:5" ht="31" customHeight="1">
      <c r="A12" s="15" t="s">
        <v>26</v>
      </c>
      <c r="B12" s="16">
        <v>46291</v>
      </c>
      <c r="C12" s="15" t="s">
        <v>27</v>
      </c>
      <c r="D12" s="17">
        <v>-58</v>
      </c>
      <c r="E12" s="18" t="s">
        <v>28</v>
      </c>
    </row>
    <row r="13" spans="1:5" ht="31" customHeight="1">
      <c r="A13" s="15" t="s">
        <v>29</v>
      </c>
      <c r="B13" s="16">
        <v>46291</v>
      </c>
      <c r="C13" s="15" t="s">
        <v>16</v>
      </c>
      <c r="D13" s="17">
        <v>188</v>
      </c>
      <c r="E13" s="18" t="s">
        <v>17</v>
      </c>
    </row>
    <row r="14" spans="1:5" ht="31" customHeight="1">
      <c r="A14" s="15" t="s">
        <v>30</v>
      </c>
      <c r="B14" s="16">
        <v>46291</v>
      </c>
      <c r="C14" s="15" t="s">
        <v>27</v>
      </c>
      <c r="D14" s="17">
        <v>-38</v>
      </c>
      <c r="E14" s="18" t="s">
        <v>31</v>
      </c>
    </row>
    <row r="15" spans="1:5" ht="31" customHeight="1">
      <c r="A15" s="15" t="s">
        <v>32</v>
      </c>
      <c r="B15" s="16">
        <v>46291</v>
      </c>
      <c r="C15" s="15" t="s">
        <v>16</v>
      </c>
      <c r="D15" s="17">
        <v>88</v>
      </c>
      <c r="E15" s="18" t="s">
        <v>17</v>
      </c>
    </row>
    <row r="16" spans="1:5" ht="31" customHeight="1">
      <c r="A16" s="15" t="s">
        <v>33</v>
      </c>
      <c r="B16" s="16">
        <v>46291</v>
      </c>
      <c r="C16" s="15" t="s">
        <v>16</v>
      </c>
      <c r="D16" s="17">
        <v>138</v>
      </c>
      <c r="E16" s="18" t="s">
        <v>34</v>
      </c>
    </row>
    <row r="17" spans="1:5" ht="31" customHeight="1">
      <c r="A17" s="15" t="s">
        <v>33</v>
      </c>
      <c r="B17" s="16">
        <v>46291</v>
      </c>
      <c r="C17" s="15" t="s">
        <v>16</v>
      </c>
      <c r="D17" s="17">
        <v>138</v>
      </c>
      <c r="E17" s="18" t="s">
        <v>35</v>
      </c>
    </row>
    <row r="19" spans="1:5" ht="24" customHeight="1">
      <c r="A19" s="13" t="s">
        <v>55</v>
      </c>
      <c r="D19" s="14">
        <f>SUM(D6:D17)</f>
        <v>1544.0</v>
      </c>
    </row>
    <row r="21" spans="1:5" ht="24" customHeight="1">
      <c r="A21" s="3" t="s">
        <v>56</v>
      </c>
      <c r="B21" s="3"/>
      <c r="C21" s="3"/>
      <c r="D21" s="3"/>
      <c r="E21" s="3"/>
    </row>
    <row r="22" spans="1:5" ht="24" customHeight="1">
      <c r="A22" s="3"/>
      <c r="B22" s="3"/>
      <c r="C22" s="3"/>
      <c r="D22" s="3"/>
      <c r="E22" s="3"/>
    </row>
  </sheetData>
  <autoFilter ref="A5:E17"/>
  <mergeCells count="3">
    <mergeCell ref="A1:E1"/>
    <mergeCell ref="A2:E3"/>
    <mergeCell ref="A21:E22"/>
  </mergeCells>
  <dataValidations count="2">
    <dataValidation type="decimal" allowBlank="1" showInputMessage="1" showErrorMessage="1" errorTitle="请输入金额" error="金额必须为数字；退款使用负数。" promptTitle="金额口径" prompt="收款正数，退款负数，单位人民币元。" sqref="D6:D17">
      <formula1>-1000000</formula1>
      <formula2>1000000</formula2>
    </dataValidation>
    <dataValidation type="list" allowBlank="1" showInputMessage="1" showErrorMessage="1" errorTitle="请选择类型" error="类型只能为收款或退款。" sqref="C6:C17">
      <formula1>"收款,退款"</formula1>
    </dataValidation>
  </dataValidations>
  <pageMargins left="0.35" right="0.35" top="0.45" bottom="0.45" header="0.3" footer="0.2"/>
  <pageSetup paperSize="9" orientation="landscape"/>
  <headerFooter>
    <oddFooter>&amp;L合成对账演示 · 不含客户数据&amp;R&amp;P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87F79"/>
    <pageSetUpPr fitToPage="1"/>
  </sheetPr>
  <dimension ref="A1:E2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4" customHeight="1"/>
  <cols>
    <col min="1" max="1" width="20.7109375" style="1" customWidth="1"/>
    <col min="2" max="2" width="16.7109375" style="1" customWidth="1"/>
    <col min="3" max="3" width="16.7109375" style="1" customWidth="1"/>
    <col min="4" max="4" width="18.7109375" style="1" customWidth="1"/>
    <col min="5" max="5" width="45.7109375" style="1" customWidth="1"/>
  </cols>
  <sheetData>
    <row r="1" spans="1:5" ht="37" customHeight="1">
      <c r="A1" s="2" t="s">
        <v>6</v>
      </c>
      <c r="B1" s="2"/>
      <c r="C1" s="2"/>
      <c r="D1" s="2"/>
      <c r="E1" s="2"/>
    </row>
    <row r="2" spans="1:5" ht="18" customHeight="1">
      <c r="A2" s="3" t="s">
        <v>7</v>
      </c>
      <c r="B2" s="3"/>
      <c r="C2" s="3"/>
      <c r="D2" s="3"/>
      <c r="E2" s="3"/>
    </row>
    <row r="3" spans="1:5" ht="18" customHeight="1">
      <c r="A3" s="3"/>
      <c r="B3" s="3"/>
      <c r="C3" s="3"/>
      <c r="D3" s="3"/>
      <c r="E3" s="3"/>
    </row>
    <row r="5" spans="1:5" ht="28" customHeight="1">
      <c r="A5" s="7" t="s">
        <v>8</v>
      </c>
      <c r="B5" s="7" t="s">
        <v>13</v>
      </c>
      <c r="C5" s="7" t="s">
        <v>11</v>
      </c>
      <c r="D5" s="7" t="s">
        <v>14</v>
      </c>
      <c r="E5" s="7" t="s">
        <v>12</v>
      </c>
    </row>
    <row r="6" spans="1:5" ht="31" customHeight="1">
      <c r="A6" s="15" t="s">
        <v>15</v>
      </c>
      <c r="B6" s="16">
        <v>46291</v>
      </c>
      <c r="C6" s="17">
        <v>128</v>
      </c>
      <c r="D6" s="15" t="s">
        <v>36</v>
      </c>
      <c r="E6" s="18" t="s">
        <v>17</v>
      </c>
    </row>
    <row r="7" spans="1:5" ht="31" customHeight="1">
      <c r="A7" s="15" t="s">
        <v>18</v>
      </c>
      <c r="B7" s="16">
        <v>46291</v>
      </c>
      <c r="C7" s="17">
        <v>198</v>
      </c>
      <c r="D7" s="15" t="s">
        <v>37</v>
      </c>
      <c r="E7" s="18" t="s">
        <v>17</v>
      </c>
    </row>
    <row r="8" spans="1:5" ht="31" customHeight="1">
      <c r="A8" s="15" t="s">
        <v>19</v>
      </c>
      <c r="B8" s="16">
        <v>46291</v>
      </c>
      <c r="C8" s="17">
        <v>268</v>
      </c>
      <c r="D8" s="15" t="s">
        <v>38</v>
      </c>
      <c r="E8" s="18" t="s">
        <v>39</v>
      </c>
    </row>
    <row r="9" spans="1:5" ht="31" customHeight="1">
      <c r="A9" s="15" t="s">
        <v>19</v>
      </c>
      <c r="B9" s="16">
        <v>46291</v>
      </c>
      <c r="C9" s="17">
        <v>268</v>
      </c>
      <c r="D9" s="15" t="s">
        <v>38</v>
      </c>
      <c r="E9" s="18" t="s">
        <v>40</v>
      </c>
    </row>
    <row r="10" spans="1:5" ht="31" customHeight="1">
      <c r="A10" s="15" t="s">
        <v>21</v>
      </c>
      <c r="B10" s="16">
        <v>46291</v>
      </c>
      <c r="C10" s="17">
        <v>160</v>
      </c>
      <c r="D10" s="15" t="s">
        <v>41</v>
      </c>
      <c r="E10" s="18" t="s">
        <v>42</v>
      </c>
    </row>
    <row r="11" spans="1:5" ht="31" customHeight="1">
      <c r="A11" s="15" t="s">
        <v>25</v>
      </c>
      <c r="B11" s="16">
        <v>46292</v>
      </c>
      <c r="C11" s="17">
        <v>228</v>
      </c>
      <c r="D11" s="15" t="s">
        <v>43</v>
      </c>
      <c r="E11" s="18" t="s">
        <v>17</v>
      </c>
    </row>
    <row r="12" spans="1:5" ht="31" customHeight="1">
      <c r="A12" s="15" t="s">
        <v>26</v>
      </c>
      <c r="B12" s="16">
        <v>46292</v>
      </c>
      <c r="C12" s="17">
        <v>-58</v>
      </c>
      <c r="D12" s="15" t="s">
        <v>44</v>
      </c>
      <c r="E12" s="18" t="s">
        <v>45</v>
      </c>
    </row>
    <row r="13" spans="1:5" ht="31" customHeight="1">
      <c r="A13" s="15" t="s">
        <v>29</v>
      </c>
      <c r="B13" s="16">
        <v>46292</v>
      </c>
      <c r="C13" s="17">
        <v>188</v>
      </c>
      <c r="D13" s="15" t="s">
        <v>46</v>
      </c>
      <c r="E13" s="18" t="s">
        <v>17</v>
      </c>
    </row>
    <row r="14" spans="1:5" ht="31" customHeight="1">
      <c r="A14" s="15" t="s">
        <v>30</v>
      </c>
      <c r="B14" s="16">
        <v>46292</v>
      </c>
      <c r="C14" s="17">
        <v>-28</v>
      </c>
      <c r="D14" s="15" t="s">
        <v>47</v>
      </c>
      <c r="E14" s="18" t="s">
        <v>48</v>
      </c>
    </row>
    <row r="15" spans="1:5" ht="31" customHeight="1">
      <c r="A15" s="15" t="s">
        <v>32</v>
      </c>
      <c r="B15" s="16">
        <v>46292</v>
      </c>
      <c r="C15" s="17">
        <v>88</v>
      </c>
      <c r="D15" s="15" t="s">
        <v>49</v>
      </c>
      <c r="E15" s="18" t="s">
        <v>17</v>
      </c>
    </row>
    <row r="16" spans="1:5" ht="31" customHeight="1">
      <c r="A16" s="15" t="s">
        <v>33</v>
      </c>
      <c r="B16" s="16">
        <v>46292</v>
      </c>
      <c r="C16" s="17">
        <v>138</v>
      </c>
      <c r="D16" s="15" t="s">
        <v>50</v>
      </c>
      <c r="E16" s="18" t="s">
        <v>51</v>
      </c>
    </row>
    <row r="17" spans="1:5" ht="31" customHeight="1">
      <c r="A17" s="15" t="s">
        <v>52</v>
      </c>
      <c r="B17" s="16">
        <v>46292</v>
      </c>
      <c r="C17" s="17">
        <v>88</v>
      </c>
      <c r="D17" s="15" t="s">
        <v>53</v>
      </c>
      <c r="E17" s="18" t="s">
        <v>54</v>
      </c>
    </row>
    <row r="19" spans="1:5" ht="24" customHeight="1">
      <c r="A19" s="13" t="s">
        <v>55</v>
      </c>
      <c r="C19" s="14">
        <f>SUM(C6:C17)</f>
        <v>1666.0</v>
      </c>
    </row>
    <row r="21" spans="1:5" ht="24" customHeight="1">
      <c r="A21" s="3" t="s">
        <v>56</v>
      </c>
      <c r="B21" s="3"/>
      <c r="C21" s="3"/>
      <c r="D21" s="3"/>
      <c r="E21" s="3"/>
    </row>
    <row r="22" spans="1:5" ht="24" customHeight="1">
      <c r="A22" s="3"/>
      <c r="B22" s="3"/>
      <c r="C22" s="3"/>
      <c r="D22" s="3"/>
      <c r="E22" s="3"/>
    </row>
  </sheetData>
  <autoFilter ref="A5:E17"/>
  <mergeCells count="3">
    <mergeCell ref="A1:E1"/>
    <mergeCell ref="A2:E3"/>
    <mergeCell ref="A21:E22"/>
  </mergeCells>
  <dataValidations count="1">
    <dataValidation type="decimal" allowBlank="1" showInputMessage="1" showErrorMessage="1" errorTitle="请输入金额" error="金额必须为数字；退款使用负数。" promptTitle="金额口径" prompt="收款正数，退款负数，单位人民币元。" sqref="C6:C17">
      <formula1>-1000000</formula1>
      <formula2>1000000</formula2>
    </dataValidation>
  </dataValidations>
  <pageMargins left="0.35" right="0.35" top="0.45" bottom="0.45" header="0.3" footer="0.2"/>
  <pageSetup paperSize="9" orientation="landscape"/>
  <headerFooter>
    <oddFooter>&amp;L合成对账演示 · 不含客户数据&amp;R&amp;P /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概览</vt:lpstr>
      <vt:lpstr>对账明细</vt:lpstr>
      <vt:lpstr>POS导出</vt:lpstr>
      <vt:lpstr>银行导出</vt:lpstr>
      <vt:lpstr>POS导出!Print_Area</vt:lpstr>
      <vt:lpstr>对账明细!Print_Area</vt:lpstr>
      <vt:lpstr>概览!Print_Area</vt:lpstr>
      <vt:lpstr>银行导出!Print_Area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美甲门店 POS / 银行对账演示</dc:title>
  <dc:subject>合成数据；399 元付费试单样例</dc:subject>
  <dc:creator>inklife</dc:creator>
  <dc:description>AI 辅助制作的原创演示；非真实门店数据。</dc:description>
  <cp:lastModifiedBy>inklife</cp:lastModifiedBy>
  <dcterms:created xsi:type="dcterms:W3CDTF">2026-10-01T06:25:41Z</dcterms:created>
  <dcterms:modified xsi:type="dcterms:W3CDTF">2026-10-01T06:25:41Z</dcterms:modified>
</cp:coreProperties>
</file>